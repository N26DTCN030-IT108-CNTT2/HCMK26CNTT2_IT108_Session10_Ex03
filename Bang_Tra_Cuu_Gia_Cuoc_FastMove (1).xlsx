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VanDon" sheetId="1" state="visible" r:id="rId1"/>
    <sheet xmlns:r="http://schemas.openxmlformats.org/officeDocument/2006/relationships" name="BangGiaCuoc" sheetId="2" state="visible" r:id="rId2"/>
  </sheets>
  <definedNames>
    <definedName name="_xlnm._FilterDatabase" localSheetId="0" hidden="1">'BangVanDon'!$A$1:$F$7</definedName>
    <definedName name="_xlnm._FilterDatabase" localSheetId="1" hidden="1">'BangGiaCuoc'!$A$1:$C$4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2D62"/>
        <bgColor rgb="00002D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8" customWidth="1" min="4" max="4"/>
    <col width="80" customWidth="1" min="5" max="5"/>
    <col width="20" customWidth="1" min="6" max="6"/>
  </cols>
  <sheetData>
    <row r="1">
      <c r="A1" s="1" t="inlineStr">
        <is>
          <t>Ma_Van_Don</t>
        </is>
      </c>
      <c r="B1" s="1" t="inlineStr">
        <is>
          <t>Ten_Khach_Hang</t>
        </is>
      </c>
      <c r="C1" s="1" t="inlineStr">
        <is>
          <t>Trong_Luong_Kg</t>
        </is>
      </c>
      <c r="D1" s="1" t="inlineStr">
        <is>
          <t>Khu_Vuc</t>
        </is>
      </c>
      <c r="E1" s="1" t="inlineStr">
        <is>
          <t>Gia_Cuoc_VND</t>
        </is>
      </c>
      <c r="F1" s="1" t="inlineStr">
        <is>
          <t>Trang_Thai_Giao</t>
        </is>
      </c>
    </row>
    <row r="2">
      <c r="A2" t="inlineStr">
        <is>
          <t>FM001</t>
        </is>
      </c>
      <c r="B2" t="inlineStr">
        <is>
          <t>Nguyễn Văn An</t>
        </is>
      </c>
      <c r="C2" t="n">
        <v>2.5</v>
      </c>
      <c r="D2" t="inlineStr">
        <is>
          <t>Nội thành</t>
        </is>
      </c>
      <c r="E2">
        <f>IFERROR(VLOOKUP(A2, BangGiaCuoc!A$2:C$5, 2, FALSE), "Mã lỗi/Cần kiểm tra")</f>
        <v/>
      </c>
      <c r="F2" t="inlineStr">
        <is>
          <t>Đang giao</t>
        </is>
      </c>
    </row>
    <row r="3">
      <c r="A3" t="inlineStr">
        <is>
          <t>FM002</t>
        </is>
      </c>
      <c r="B3" t="inlineStr">
        <is>
          <t>Trần Thị Bình</t>
        </is>
      </c>
      <c r="C3" t="n">
        <v>1</v>
      </c>
      <c r="D3" t="inlineStr">
        <is>
          <t>Ngoại thành</t>
        </is>
      </c>
      <c r="E3">
        <f>IFERROR(VLOOKUP(A3, BangGiaCuoc!A$2:C$5, 2, FALSE), "Mã lỗi/Cần kiểm tra")</f>
        <v/>
      </c>
      <c r="F3" t="inlineStr">
        <is>
          <t>Giao thành công</t>
        </is>
      </c>
    </row>
    <row r="4">
      <c r="A4" t="inlineStr">
        <is>
          <t>FM003</t>
        </is>
      </c>
      <c r="B4" t="inlineStr">
        <is>
          <t>Lê Hoàng Cường</t>
        </is>
      </c>
      <c r="C4" t="n">
        <v>5</v>
      </c>
      <c r="D4" t="inlineStr">
        <is>
          <t>Liên tỉnh</t>
        </is>
      </c>
      <c r="E4">
        <f>IFERROR(VLOOKUP(A4, BangGiaCuoc!A$2:C$5, 2, FALSE), "Mã lỗi/Cần kiểm tra")</f>
        <v/>
      </c>
      <c r="F4" t="inlineStr">
        <is>
          <t>Giao thành công</t>
        </is>
      </c>
    </row>
    <row r="5">
      <c r="A5" t="inlineStr">
        <is>
          <t>FM999</t>
        </is>
      </c>
      <c r="B5" t="inlineStr">
        <is>
          <t>Phạm Minh Đức</t>
        </is>
      </c>
      <c r="C5" t="n">
        <v>0.8</v>
      </c>
      <c r="D5" t="inlineStr">
        <is>
          <t>Nội thành</t>
        </is>
      </c>
      <c r="E5">
        <f>IFERROR(VLOOKUP(A5, BangGiaCuoc!A$2:C$5, 2, FALSE), "Mã lỗi/Cần kiểm tra")</f>
        <v/>
      </c>
      <c r="F5" t="inlineStr">
        <is>
          <t>Chưa xuất kho</t>
        </is>
      </c>
    </row>
    <row r="6"/>
    <row r="7">
      <c r="D7" t="inlineStr">
        <is>
          <t>Tổng doanh thu dự kiến:</t>
        </is>
      </c>
      <c r="E7">
        <f>SUM(E2:E5)</f>
        <v/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9" customWidth="1" min="3" max="3"/>
  </cols>
  <sheetData>
    <row r="1">
      <c r="A1" s="1" t="inlineStr">
        <is>
          <t>Ma_Van_Don</t>
        </is>
      </c>
      <c r="B1" s="1" t="inlineStr">
        <is>
          <t>Gia_Cuoc_Quy_Dinh</t>
        </is>
      </c>
      <c r="C1" s="1" t="inlineStr">
        <is>
          <t>Ghi_Chu</t>
        </is>
      </c>
    </row>
    <row r="2">
      <c r="A2" t="inlineStr">
        <is>
          <t>FM001</t>
        </is>
      </c>
      <c r="B2" t="n">
        <v>22000</v>
      </c>
      <c r="C2" t="inlineStr">
        <is>
          <t>Chuẩn GB</t>
        </is>
      </c>
    </row>
    <row r="3">
      <c r="A3" t="inlineStr">
        <is>
          <t>FM002</t>
        </is>
      </c>
      <c r="B3" t="n">
        <v>35000</v>
      </c>
      <c r="C3" t="inlineStr">
        <is>
          <t>Cước vùng 2</t>
        </is>
      </c>
    </row>
    <row r="4">
      <c r="A4" t="inlineStr">
        <is>
          <t>FM003</t>
        </is>
      </c>
      <c r="B4" t="n">
        <v>85000</v>
      </c>
      <c r="C4" t="inlineStr">
        <is>
          <t>Cước cồng kềnh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2026-10-27T03:41:44Z</dcterms:created>
  <dcterms:modified xmlns:dcterms="http://purl.org/dc/terms/" xmlns:xsi="http://www.w3.org/2001/XMLSchema-instance" xsi:type="dcterms:W3CDTF">2026-10-27T03:41:44Z</dcterms:modified>
</cp:coreProperties>
</file>